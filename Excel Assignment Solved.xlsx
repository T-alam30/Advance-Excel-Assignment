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ckup data\Practical Assignment\Excel\"/>
    </mc:Choice>
  </mc:AlternateContent>
  <xr:revisionPtr revIDLastSave="0" documentId="13_ncr:1_{5409B763-75BA-4300-A3D1-D1D479A7AF8E}" xr6:coauthVersionLast="36" xr6:coauthVersionMax="36" xr10:uidLastSave="{00000000-0000-0000-0000-000000000000}"/>
  <bookViews>
    <workbookView xWindow="240" yWindow="135" windowWidth="20055" windowHeight="74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calcPr calcId="191029"/>
</workbook>
</file>

<file path=xl/calcChain.xml><?xml version="1.0" encoding="utf-8"?>
<calcChain xmlns="http://schemas.openxmlformats.org/spreadsheetml/2006/main">
  <c r="B2" i="6" l="1"/>
  <c r="C2" i="6"/>
  <c r="D2" i="6" s="1"/>
  <c r="B3" i="6"/>
  <c r="C3" i="6"/>
  <c r="D3" i="6" s="1"/>
  <c r="B4" i="6"/>
  <c r="C4" i="6"/>
  <c r="D4" i="6" s="1"/>
  <c r="B5" i="6"/>
  <c r="C5" i="6"/>
  <c r="D5" i="6" s="1"/>
  <c r="B6" i="6"/>
  <c r="C6" i="6"/>
  <c r="D6" i="6" s="1"/>
  <c r="B7" i="6"/>
  <c r="C7" i="6"/>
  <c r="D7" i="6" s="1"/>
  <c r="B8" i="6"/>
  <c r="C8" i="6"/>
  <c r="D8" i="6" s="1"/>
  <c r="B9" i="6"/>
  <c r="C9" i="6"/>
  <c r="D9" i="6" s="1"/>
  <c r="H3" i="4"/>
  <c r="I3" i="4" s="1"/>
  <c r="H6" i="4"/>
  <c r="D6" i="4"/>
  <c r="C6" i="4"/>
  <c r="B6" i="4"/>
  <c r="D3" i="4"/>
  <c r="D2" i="4"/>
  <c r="H2" i="4"/>
  <c r="H5" i="4"/>
  <c r="B2" i="4"/>
  <c r="C2" i="4"/>
  <c r="E9" i="6" l="1"/>
  <c r="E8" i="6"/>
  <c r="E7" i="6"/>
  <c r="E6" i="6"/>
  <c r="E5" i="6"/>
  <c r="E4" i="6"/>
  <c r="E3" i="6"/>
  <c r="E2" i="6"/>
  <c r="F6" i="4"/>
  <c r="C5" i="4"/>
  <c r="B5" i="4"/>
  <c r="D5" i="4"/>
  <c r="F3" i="4"/>
  <c r="E3" i="4"/>
  <c r="E4" i="4"/>
  <c r="D4" i="4"/>
  <c r="C3" i="4"/>
  <c r="C4" i="4"/>
  <c r="B3" i="4"/>
  <c r="B4" i="4"/>
  <c r="F4" i="4" s="1"/>
  <c r="H4" i="4" l="1"/>
  <c r="F5" i="4"/>
  <c r="F2" i="4"/>
  <c r="B6" i="1"/>
  <c r="B7" i="1" s="1"/>
  <c r="B8" i="1" l="1"/>
</calcChain>
</file>

<file path=xl/sharedStrings.xml><?xml version="1.0" encoding="utf-8"?>
<sst xmlns="http://schemas.openxmlformats.org/spreadsheetml/2006/main" count="83" uniqueCount="69">
  <si>
    <t>West</t>
  </si>
  <si>
    <t>North</t>
  </si>
  <si>
    <t>South</t>
  </si>
  <si>
    <t>East</t>
  </si>
  <si>
    <t>Qtr 1</t>
  </si>
  <si>
    <t>Qtr 2</t>
  </si>
  <si>
    <t>Qtr 3</t>
  </si>
  <si>
    <t>Qtr 4</t>
  </si>
  <si>
    <t>Total Sales</t>
  </si>
  <si>
    <t>Sales growth 0.07</t>
  </si>
  <si>
    <t>Project Sales</t>
  </si>
  <si>
    <t>Year</t>
  </si>
  <si>
    <t>Company 
Sale</t>
  </si>
  <si>
    <t>Industry
Sale</t>
  </si>
  <si>
    <t>Market
Share</t>
  </si>
  <si>
    <t>Order ID</t>
  </si>
  <si>
    <t>Customer</t>
  </si>
  <si>
    <t>Product</t>
  </si>
  <si>
    <t>Amount (₹)</t>
  </si>
  <si>
    <t>Status</t>
  </si>
  <si>
    <t>O101</t>
  </si>
  <si>
    <t>Ali</t>
  </si>
  <si>
    <t>Laptop</t>
  </si>
  <si>
    <t>Paid</t>
  </si>
  <si>
    <t>O102</t>
  </si>
  <si>
    <t>Sara</t>
  </si>
  <si>
    <t>Printer</t>
  </si>
  <si>
    <t>Pending</t>
  </si>
  <si>
    <t>O103</t>
  </si>
  <si>
    <t>Aman</t>
  </si>
  <si>
    <t>Monitor</t>
  </si>
  <si>
    <t>O104</t>
  </si>
  <si>
    <t>Neha</t>
  </si>
  <si>
    <t>Keyboard</t>
  </si>
  <si>
    <t>O105</t>
  </si>
  <si>
    <t>Ravi</t>
  </si>
  <si>
    <t>Mouse</t>
  </si>
  <si>
    <t>O106</t>
  </si>
  <si>
    <t>Priya</t>
  </si>
  <si>
    <t>SSD</t>
  </si>
  <si>
    <t>O107</t>
  </si>
  <si>
    <t>Mohit</t>
  </si>
  <si>
    <t>Webcam</t>
  </si>
  <si>
    <t>O108</t>
  </si>
  <si>
    <t>Simran</t>
  </si>
  <si>
    <t>UPS</t>
  </si>
  <si>
    <t>O109</t>
  </si>
  <si>
    <t>Arjun</t>
  </si>
  <si>
    <t>Scanner</t>
  </si>
  <si>
    <t>O110</t>
  </si>
  <si>
    <t>Aisha</t>
  </si>
  <si>
    <t>Speaker</t>
  </si>
  <si>
    <t>Raja Ram Verma</t>
  </si>
  <si>
    <t>Name</t>
  </si>
  <si>
    <t>First Name</t>
  </si>
  <si>
    <t>Middle Name</t>
  </si>
  <si>
    <t>Last Name</t>
  </si>
  <si>
    <t>Md Abid Hussain</t>
  </si>
  <si>
    <t>Md Altaf</t>
  </si>
  <si>
    <t>mid</t>
  </si>
  <si>
    <t>md tausif alam</t>
  </si>
  <si>
    <t>Md Abid</t>
  </si>
  <si>
    <t>Abdul Kalam</t>
  </si>
  <si>
    <t>Aman Verma</t>
  </si>
  <si>
    <t>Md Altaf Raja</t>
  </si>
  <si>
    <t>Md Rehan</t>
  </si>
  <si>
    <t>Md Junaid Ansari</t>
  </si>
  <si>
    <t>Antra Srivastva</t>
  </si>
  <si>
    <t>Sweta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</si>
</sst>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1">
    <dxf>
      <font>
        <color auto="1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20" zoomScaleNormal="120" workbookViewId="0">
      <selection activeCell="C7" sqref="C7"/>
    </sheetView>
  </sheetViews>
  <sheetFormatPr defaultRowHeight="15" x14ac:dyDescent="0.25"/>
  <cols>
    <col min="1" max="1" width="19.7109375" customWidth="1"/>
    <col min="2" max="3" width="11" customWidth="1"/>
    <col min="4" max="4" width="10.28515625" customWidth="1"/>
    <col min="5" max="5" width="11.28515625" customWidth="1"/>
  </cols>
  <sheetData>
    <row r="1" spans="1:5" x14ac:dyDescent="0.25">
      <c r="A1" s="2"/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25">
      <c r="A2" s="4" t="s">
        <v>0</v>
      </c>
      <c r="B2" s="2">
        <v>12000</v>
      </c>
      <c r="C2" s="2">
        <v>22000</v>
      </c>
      <c r="D2" s="2">
        <v>18000</v>
      </c>
      <c r="E2" s="2">
        <v>16000</v>
      </c>
    </row>
    <row r="3" spans="1:5" x14ac:dyDescent="0.25">
      <c r="A3" s="4" t="s">
        <v>1</v>
      </c>
      <c r="B3" s="2">
        <v>14000</v>
      </c>
      <c r="C3" s="2">
        <v>44000</v>
      </c>
      <c r="D3" s="2">
        <v>56000</v>
      </c>
      <c r="E3" s="2">
        <v>31000</v>
      </c>
    </row>
    <row r="4" spans="1:5" x14ac:dyDescent="0.25">
      <c r="A4" s="4" t="s">
        <v>2</v>
      </c>
      <c r="B4" s="2">
        <v>34000</v>
      </c>
      <c r="C4" s="2">
        <v>35000</v>
      </c>
      <c r="D4" s="2">
        <v>35000</v>
      </c>
      <c r="E4" s="2">
        <v>41000</v>
      </c>
    </row>
    <row r="5" spans="1:5" x14ac:dyDescent="0.25">
      <c r="A5" s="4" t="s">
        <v>3</v>
      </c>
      <c r="B5" s="2">
        <v>21000</v>
      </c>
      <c r="C5" s="2">
        <v>16000</v>
      </c>
      <c r="D5" s="2">
        <v>12000</v>
      </c>
      <c r="E5" s="2">
        <v>28000</v>
      </c>
    </row>
    <row r="6" spans="1:5" x14ac:dyDescent="0.25">
      <c r="A6" s="4" t="s">
        <v>8</v>
      </c>
      <c r="B6" s="5">
        <f>SUM(B2:B5)</f>
        <v>81000</v>
      </c>
      <c r="C6" s="5"/>
      <c r="D6" s="5"/>
      <c r="E6" s="5"/>
    </row>
    <row r="7" spans="1:5" x14ac:dyDescent="0.25">
      <c r="A7" s="4" t="s">
        <v>9</v>
      </c>
      <c r="B7" s="6">
        <f>B6*7%</f>
        <v>5670.0000000000009</v>
      </c>
      <c r="C7" s="6"/>
      <c r="D7" s="6"/>
      <c r="E7" s="6"/>
    </row>
    <row r="8" spans="1:5" x14ac:dyDescent="0.25">
      <c r="A8" s="4" t="s">
        <v>10</v>
      </c>
      <c r="B8" s="3">
        <f>SUM(B6:B7)</f>
        <v>86670</v>
      </c>
      <c r="C8" s="3"/>
      <c r="D8" s="3"/>
      <c r="E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K9" sqref="K9"/>
    </sheetView>
  </sheetViews>
  <sheetFormatPr defaultRowHeight="15" x14ac:dyDescent="0.25"/>
  <sheetData>
    <row r="1" spans="1:4" ht="35.25" customHeight="1" x14ac:dyDescent="0.25">
      <c r="A1" s="1" t="s">
        <v>11</v>
      </c>
      <c r="B1" s="7" t="s">
        <v>12</v>
      </c>
      <c r="C1" s="7" t="s">
        <v>13</v>
      </c>
      <c r="D1" s="7" t="s">
        <v>14</v>
      </c>
    </row>
    <row r="2" spans="1:4" x14ac:dyDescent="0.25">
      <c r="A2">
        <v>1984</v>
      </c>
      <c r="B2">
        <v>60000</v>
      </c>
      <c r="C2">
        <v>1200000</v>
      </c>
    </row>
    <row r="3" spans="1:4" x14ac:dyDescent="0.25">
      <c r="A3">
        <v>1985</v>
      </c>
      <c r="B3">
        <v>65000</v>
      </c>
      <c r="C3">
        <v>1250000</v>
      </c>
    </row>
    <row r="4" spans="1:4" x14ac:dyDescent="0.25">
      <c r="B4">
        <v>85000</v>
      </c>
      <c r="C4">
        <v>1300000</v>
      </c>
    </row>
    <row r="5" spans="1:4" x14ac:dyDescent="0.25">
      <c r="B5">
        <v>110000</v>
      </c>
      <c r="C5">
        <v>1380000</v>
      </c>
    </row>
    <row r="6" spans="1:4" x14ac:dyDescent="0.25">
      <c r="B6">
        <v>125000</v>
      </c>
      <c r="C6">
        <v>1400000</v>
      </c>
    </row>
    <row r="7" spans="1:4" x14ac:dyDescent="0.25">
      <c r="B7">
        <v>145000</v>
      </c>
      <c r="C7">
        <v>1470000</v>
      </c>
    </row>
    <row r="8" spans="1:4" x14ac:dyDescent="0.25">
      <c r="B8">
        <v>200000</v>
      </c>
      <c r="C8">
        <v>1490000</v>
      </c>
    </row>
    <row r="9" spans="1:4" x14ac:dyDescent="0.25">
      <c r="B9">
        <v>260000</v>
      </c>
      <c r="C9">
        <v>1500000</v>
      </c>
    </row>
    <row r="10" spans="1:4" x14ac:dyDescent="0.25">
      <c r="B10">
        <v>300000</v>
      </c>
      <c r="C10">
        <v>1520000</v>
      </c>
    </row>
    <row r="11" spans="1:4" x14ac:dyDescent="0.25">
      <c r="B11">
        <v>325000</v>
      </c>
      <c r="C11">
        <v>1550000</v>
      </c>
    </row>
    <row r="12" spans="1:4" x14ac:dyDescent="0.25">
      <c r="B12">
        <v>35000</v>
      </c>
      <c r="C12">
        <v>1580000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L7" sqref="L7"/>
    </sheetView>
  </sheetViews>
  <sheetFormatPr defaultRowHeight="15" x14ac:dyDescent="0.25"/>
  <cols>
    <col min="1" max="1" width="9.42578125" customWidth="1"/>
    <col min="2" max="2" width="9.5703125" customWidth="1"/>
    <col min="3" max="3" width="9.42578125" customWidth="1"/>
    <col min="4" max="4" width="8.140625" bestFit="1" customWidth="1"/>
    <col min="5" max="5" width="8.42578125" bestFit="1" customWidth="1"/>
  </cols>
  <sheetData>
    <row r="1" spans="1:5" ht="32.25" thickBot="1" x14ac:dyDescent="0.3">
      <c r="A1" s="8" t="s">
        <v>15</v>
      </c>
      <c r="B1" s="9" t="s">
        <v>16</v>
      </c>
      <c r="C1" s="9" t="s">
        <v>17</v>
      </c>
      <c r="D1" s="9" t="s">
        <v>18</v>
      </c>
      <c r="E1" s="9" t="s">
        <v>19</v>
      </c>
    </row>
    <row r="2" spans="1:5" ht="16.5" thickBot="1" x14ac:dyDescent="0.3">
      <c r="A2" s="10" t="s">
        <v>20</v>
      </c>
      <c r="B2" s="11" t="s">
        <v>21</v>
      </c>
      <c r="C2" s="11" t="s">
        <v>22</v>
      </c>
      <c r="D2" s="11">
        <v>55000</v>
      </c>
      <c r="E2" s="11" t="s">
        <v>23</v>
      </c>
    </row>
    <row r="3" spans="1:5" ht="16.5" thickBot="1" x14ac:dyDescent="0.3">
      <c r="A3" s="10" t="s">
        <v>24</v>
      </c>
      <c r="B3" s="11" t="s">
        <v>25</v>
      </c>
      <c r="C3" s="11" t="s">
        <v>26</v>
      </c>
      <c r="D3" s="11">
        <v>18000</v>
      </c>
      <c r="E3" s="11" t="s">
        <v>27</v>
      </c>
    </row>
    <row r="4" spans="1:5" ht="16.5" thickBot="1" x14ac:dyDescent="0.3">
      <c r="A4" s="10" t="s">
        <v>28</v>
      </c>
      <c r="B4" s="11" t="s">
        <v>29</v>
      </c>
      <c r="C4" s="11" t="s">
        <v>30</v>
      </c>
      <c r="D4" s="11">
        <v>25000</v>
      </c>
      <c r="E4" s="11" t="s">
        <v>23</v>
      </c>
    </row>
    <row r="5" spans="1:5" ht="32.25" thickBot="1" x14ac:dyDescent="0.3">
      <c r="A5" s="10" t="s">
        <v>31</v>
      </c>
      <c r="B5" s="11" t="s">
        <v>32</v>
      </c>
      <c r="C5" s="11" t="s">
        <v>33</v>
      </c>
      <c r="D5" s="11">
        <v>3500</v>
      </c>
      <c r="E5" s="11" t="s">
        <v>27</v>
      </c>
    </row>
    <row r="6" spans="1:5" ht="16.5" thickBot="1" x14ac:dyDescent="0.3">
      <c r="A6" s="10" t="s">
        <v>34</v>
      </c>
      <c r="B6" s="11" t="s">
        <v>35</v>
      </c>
      <c r="C6" s="11" t="s">
        <v>36</v>
      </c>
      <c r="D6" s="11">
        <v>1200</v>
      </c>
      <c r="E6" s="11" t="s">
        <v>23</v>
      </c>
    </row>
    <row r="7" spans="1:5" ht="16.5" thickBot="1" x14ac:dyDescent="0.3">
      <c r="A7" s="10" t="s">
        <v>37</v>
      </c>
      <c r="B7" s="11" t="s">
        <v>38</v>
      </c>
      <c r="C7" s="11" t="s">
        <v>39</v>
      </c>
      <c r="D7" s="11">
        <v>6500</v>
      </c>
      <c r="E7" s="11" t="s">
        <v>27</v>
      </c>
    </row>
    <row r="8" spans="1:5" ht="16.5" thickBot="1" x14ac:dyDescent="0.3">
      <c r="A8" s="10" t="s">
        <v>40</v>
      </c>
      <c r="B8" s="11" t="s">
        <v>41</v>
      </c>
      <c r="C8" s="11" t="s">
        <v>42</v>
      </c>
      <c r="D8" s="11">
        <v>4500</v>
      </c>
      <c r="E8" s="11" t="s">
        <v>23</v>
      </c>
    </row>
    <row r="9" spans="1:5" ht="16.5" thickBot="1" x14ac:dyDescent="0.3">
      <c r="A9" s="10" t="s">
        <v>43</v>
      </c>
      <c r="B9" s="11" t="s">
        <v>44</v>
      </c>
      <c r="C9" s="11" t="s">
        <v>45</v>
      </c>
      <c r="D9" s="11">
        <v>7200</v>
      </c>
      <c r="E9" s="11" t="s">
        <v>27</v>
      </c>
    </row>
    <row r="10" spans="1:5" ht="16.5" thickBot="1" x14ac:dyDescent="0.3">
      <c r="A10" s="10" t="s">
        <v>46</v>
      </c>
      <c r="B10" s="11" t="s">
        <v>47</v>
      </c>
      <c r="C10" s="11" t="s">
        <v>48</v>
      </c>
      <c r="D10" s="11">
        <v>15000</v>
      </c>
      <c r="E10" s="11" t="s">
        <v>23</v>
      </c>
    </row>
    <row r="11" spans="1:5" ht="16.5" thickBot="1" x14ac:dyDescent="0.3">
      <c r="A11" s="10" t="s">
        <v>49</v>
      </c>
      <c r="B11" s="11" t="s">
        <v>50</v>
      </c>
      <c r="C11" s="11" t="s">
        <v>51</v>
      </c>
      <c r="D11" s="11">
        <v>3000</v>
      </c>
      <c r="E11" s="11" t="s">
        <v>27</v>
      </c>
    </row>
  </sheetData>
  <conditionalFormatting sqref="A2:E11">
    <cfRule type="expression" dxfId="0" priority="1">
      <formula>$E2="paid"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057F-7E44-4FB4-A11B-092D08B24B64}">
  <dimension ref="A1:K10"/>
  <sheetViews>
    <sheetView workbookViewId="0">
      <selection activeCell="C9" sqref="C9"/>
    </sheetView>
  </sheetViews>
  <sheetFormatPr defaultRowHeight="15" x14ac:dyDescent="0.25"/>
  <cols>
    <col min="1" max="1" width="16.42578125" customWidth="1"/>
    <col min="2" max="2" width="16.28515625" customWidth="1"/>
    <col min="3" max="3" width="14.5703125" customWidth="1"/>
    <col min="4" max="4" width="17.28515625" customWidth="1"/>
    <col min="8" max="8" width="12.85546875" bestFit="1" customWidth="1"/>
    <col min="11" max="11" width="9.7109375" bestFit="1" customWidth="1"/>
  </cols>
  <sheetData>
    <row r="1" spans="1:11" x14ac:dyDescent="0.25">
      <c r="A1" t="s">
        <v>53</v>
      </c>
      <c r="B1" t="s">
        <v>54</v>
      </c>
      <c r="C1" t="s">
        <v>55</v>
      </c>
      <c r="D1" t="s">
        <v>56</v>
      </c>
      <c r="E1" t="s">
        <v>59</v>
      </c>
      <c r="F1" t="s">
        <v>59</v>
      </c>
    </row>
    <row r="2" spans="1:11" x14ac:dyDescent="0.25">
      <c r="A2" t="s">
        <v>58</v>
      </c>
      <c r="B2" t="str">
        <f>LEFT(A2, FIND(" ", A2) - 1)</f>
        <v>Md</v>
      </c>
      <c r="C2" t="e">
        <f>MID(A2, FIND(" ", A2) + 1, FIND(" ", A2, FIND(" ", A2) + 1) - FIND(" ", A2) - 1)</f>
        <v>#VALUE!</v>
      </c>
      <c r="D2" t="str">
        <f>RIGHT(A2, LEN(A2) - FIND(" ", A2, FIND(" ", A2) - 1))</f>
        <v>Altaf</v>
      </c>
      <c r="F2" t="str">
        <f>MID(A2,FIND(" ",A2)+1,LEN(A2)-(LEN(B2)+LEN(D2)+(LEN(A2)-LEN(SUBSTITUTE(A2," ","")))))</f>
        <v/>
      </c>
      <c r="H2" t="str">
        <f>RIGHT(A2,(LEN(A2)-LEN(B2)))</f>
        <v xml:space="preserve"> Altaf</v>
      </c>
    </row>
    <row r="3" spans="1:11" x14ac:dyDescent="0.25">
      <c r="A3" t="s">
        <v>57</v>
      </c>
      <c r="B3" t="str">
        <f t="shared" ref="B3:B6" si="0">LEFT(A3, FIND(" ", A3) - 1)</f>
        <v>Md</v>
      </c>
      <c r="C3" t="str">
        <f t="shared" ref="C3:C6" si="1">MID(A3, FIND(" ", A3) + 1, FIND(" ", A3, FIND(" ", A3) + 1) - FIND(" ", A3) - 1)</f>
        <v>Abid</v>
      </c>
      <c r="D3" t="str">
        <f>RIGHT(A3, LEN(A3) - FIND(" ", A3, FIND(" ", A3) + 1))</f>
        <v>Hussain</v>
      </c>
      <c r="E3" t="str">
        <f t="shared" ref="E3:E4" si="2">MID(FIND("~",SUBSTITUTE(A3," ","~",LEN(A3)-LEN(SUBSTITUTE(A3," ","")))),FIND("~",SUBSTITUTE(A3," ","~",LEN(A3)-LEN(SUBSTITUTE(A3," ",""))))+1,100)</f>
        <v/>
      </c>
      <c r="F3" t="str">
        <f t="shared" ref="F3:F6" si="3">MID(A3,FIND(" ",A3)+1,LEN(A3)-(LEN(B3)+LEN(D3)+(LEN(A3)-LEN(SUBSTITUTE(A3," ","")))))</f>
        <v>Abid</v>
      </c>
      <c r="H3" t="str">
        <f>RIGHT(A3,(LEN(A3)-LEN(C3)-LEN(B3))-2)</f>
        <v>Hussain</v>
      </c>
      <c r="I3">
        <f>LEN(H3)</f>
        <v>7</v>
      </c>
    </row>
    <row r="4" spans="1:11" x14ac:dyDescent="0.25">
      <c r="A4" t="s">
        <v>52</v>
      </c>
      <c r="B4" t="str">
        <f t="shared" si="0"/>
        <v>Raja</v>
      </c>
      <c r="C4" t="str">
        <f t="shared" si="1"/>
        <v>Ram</v>
      </c>
      <c r="D4" t="str">
        <f t="shared" ref="D3:D6" si="4">RIGHT(A4, LEN(A4) - FIND(" ", A4, FIND(" ", A4) + 1))</f>
        <v>Verma</v>
      </c>
      <c r="E4" t="str">
        <f t="shared" si="2"/>
        <v/>
      </c>
      <c r="F4" t="str">
        <f t="shared" si="3"/>
        <v>Ram</v>
      </c>
      <c r="H4" t="str">
        <f t="shared" ref="H4:H6" si="5">RIGHT(A4,(LEN(A4)-LEN(C4)-LEN(B4))-2)</f>
        <v>Verma</v>
      </c>
      <c r="K4" s="12"/>
    </row>
    <row r="5" spans="1:11" x14ac:dyDescent="0.25">
      <c r="A5" t="s">
        <v>60</v>
      </c>
      <c r="B5" t="str">
        <f t="shared" si="0"/>
        <v>md</v>
      </c>
      <c r="C5" t="str">
        <f t="shared" si="1"/>
        <v>tausif</v>
      </c>
      <c r="D5" t="str">
        <f t="shared" si="4"/>
        <v>alam</v>
      </c>
      <c r="F5" t="str">
        <f t="shared" si="3"/>
        <v>tausif</v>
      </c>
      <c r="H5" t="str">
        <f t="shared" si="5"/>
        <v>alam</v>
      </c>
      <c r="K5" s="12"/>
    </row>
    <row r="6" spans="1:11" x14ac:dyDescent="0.25">
      <c r="A6" t="s">
        <v>61</v>
      </c>
      <c r="B6" t="str">
        <f>LEFT(A6, FIND(" ", A6) - 1)</f>
        <v>Md</v>
      </c>
      <c r="C6" t="str">
        <f>IFERROR(MID(A6, FIND(" ", A6) + 1, FIND(" ", A6, FIND(" ", A6) + 1) - FIND(" ", A6) - 1),"")</f>
        <v/>
      </c>
      <c r="D6" t="str">
        <f>RIGHT(A6, LEN(A6) - FIND(" ", A6, FIND(" ", A6) -1))</f>
        <v>Abid</v>
      </c>
      <c r="F6" t="str">
        <f t="shared" si="3"/>
        <v/>
      </c>
      <c r="H6" t="str">
        <f>IFERROR(RIGHT(A6,(LEN(A6)-LEN(C6)-LEN(B6))-1),RIGHT(A2,(LEN(A2)-LEN(B2))))</f>
        <v>Abid</v>
      </c>
      <c r="K6" s="12"/>
    </row>
    <row r="7" spans="1:11" x14ac:dyDescent="0.25">
      <c r="K7" s="12"/>
    </row>
    <row r="10" spans="1:11" x14ac:dyDescent="0.25">
      <c r="K1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0624-937D-4BD2-BE72-EBF1626681A3}">
  <dimension ref="A1:E9"/>
  <sheetViews>
    <sheetView tabSelected="1" workbookViewId="0">
      <selection activeCell="I16" sqref="I16"/>
    </sheetView>
  </sheetViews>
  <sheetFormatPr defaultRowHeight="15" x14ac:dyDescent="0.25"/>
  <cols>
    <col min="1" max="1" width="19.28515625" customWidth="1"/>
    <col min="2" max="3" width="17.7109375" customWidth="1"/>
    <col min="4" max="4" width="15" customWidth="1"/>
    <col min="5" max="5" width="10.5703125" bestFit="1" customWidth="1"/>
  </cols>
  <sheetData>
    <row r="1" spans="1:5" x14ac:dyDescent="0.25">
      <c r="A1" s="1" t="s">
        <v>53</v>
      </c>
      <c r="B1" s="1" t="s">
        <v>54</v>
      </c>
      <c r="C1" s="1" t="s">
        <v>55</v>
      </c>
      <c r="D1" s="1" t="s">
        <v>56</v>
      </c>
    </row>
    <row r="2" spans="1:5" x14ac:dyDescent="0.25">
      <c r="A2" t="s">
        <v>61</v>
      </c>
      <c r="B2" t="str">
        <f>LEFT(A2, FIND(" ", A2) - 1)</f>
        <v>Md</v>
      </c>
      <c r="C2" t="str">
        <f>IFERROR(MID(A2, FIND(" ", A2) + 1, FIND(" ", A2, FIND(" ", A2) + 1) - FIND(" ", A2) - 1),"")</f>
        <v/>
      </c>
      <c r="D2" t="str">
        <f>IFERROR(RIGHT(A2,(LEN(A2)-LEN(C2)-LEN(B2))-1),RIGHT(A2,(LEN(A2)-LEN(B2))))</f>
        <v>Abid</v>
      </c>
      <c r="E2" t="str">
        <f>TRIM(RIGHT(A2,(LEN(A2)-LEN(C2)-LEN(B2))-1))</f>
        <v>Abid</v>
      </c>
    </row>
    <row r="3" spans="1:5" x14ac:dyDescent="0.25">
      <c r="A3" t="s">
        <v>62</v>
      </c>
      <c r="B3" t="str">
        <f t="shared" ref="B3:B9" si="0">LEFT(A3, FIND(" ", A3) - 1)</f>
        <v>Abdul</v>
      </c>
      <c r="C3" t="str">
        <f t="shared" ref="C3:C9" si="1">IFERROR(MID(A3, FIND(" ", A3) + 1, FIND(" ", A3, FIND(" ", A3) + 1) - FIND(" ", A3) - 1),"")</f>
        <v/>
      </c>
      <c r="D3" t="str">
        <f t="shared" ref="D3:D9" si="2">IFERROR(RIGHT(A3,(LEN(A3)-LEN(C3)-LEN(B3))-1),RIGHT(A3,(LEN(A3)-LEN(B3))))</f>
        <v>Kalam</v>
      </c>
      <c r="E3" t="str">
        <f t="shared" ref="E3:E9" si="3">TRIM(RIGHT(A3,(LEN(A3)-LEN(C3)-LEN(B3))-1))</f>
        <v>Kalam</v>
      </c>
    </row>
    <row r="4" spans="1:5" x14ac:dyDescent="0.25">
      <c r="A4" t="s">
        <v>63</v>
      </c>
      <c r="B4" t="str">
        <f t="shared" si="0"/>
        <v>Aman</v>
      </c>
      <c r="C4" t="str">
        <f t="shared" si="1"/>
        <v/>
      </c>
      <c r="D4" t="str">
        <f t="shared" si="2"/>
        <v>Verma</v>
      </c>
      <c r="E4" t="str">
        <f t="shared" si="3"/>
        <v>Verma</v>
      </c>
    </row>
    <row r="5" spans="1:5" x14ac:dyDescent="0.25">
      <c r="A5" t="s">
        <v>64</v>
      </c>
      <c r="B5" t="str">
        <f t="shared" si="0"/>
        <v>Md</v>
      </c>
      <c r="C5" t="str">
        <f t="shared" si="1"/>
        <v>Altaf</v>
      </c>
      <c r="D5" t="str">
        <f t="shared" si="2"/>
        <v xml:space="preserve"> Raja</v>
      </c>
      <c r="E5" t="str">
        <f t="shared" si="3"/>
        <v>Raja</v>
      </c>
    </row>
    <row r="6" spans="1:5" x14ac:dyDescent="0.25">
      <c r="A6" t="s">
        <v>65</v>
      </c>
      <c r="B6" t="str">
        <f t="shared" si="0"/>
        <v>Md</v>
      </c>
      <c r="C6" t="str">
        <f t="shared" si="1"/>
        <v/>
      </c>
      <c r="D6" t="str">
        <f t="shared" si="2"/>
        <v>Rehan</v>
      </c>
      <c r="E6" t="str">
        <f t="shared" si="3"/>
        <v>Rehan</v>
      </c>
    </row>
    <row r="7" spans="1:5" x14ac:dyDescent="0.25">
      <c r="A7" t="s">
        <v>66</v>
      </c>
      <c r="B7" t="str">
        <f t="shared" si="0"/>
        <v>Md</v>
      </c>
      <c r="C7" t="str">
        <f t="shared" si="1"/>
        <v>Junaid</v>
      </c>
      <c r="D7" t="str">
        <f t="shared" si="2"/>
        <v xml:space="preserve"> Ansari</v>
      </c>
      <c r="E7" t="str">
        <f t="shared" si="3"/>
        <v>Ansari</v>
      </c>
    </row>
    <row r="8" spans="1:5" x14ac:dyDescent="0.25">
      <c r="A8" t="s">
        <v>67</v>
      </c>
      <c r="B8" t="str">
        <f t="shared" si="0"/>
        <v>Antra</v>
      </c>
      <c r="C8" t="str">
        <f t="shared" si="1"/>
        <v/>
      </c>
      <c r="D8" t="str">
        <f t="shared" si="2"/>
        <v>Srivastva</v>
      </c>
      <c r="E8" t="str">
        <f t="shared" si="3"/>
        <v>Srivastva</v>
      </c>
    </row>
    <row r="9" spans="1:5" x14ac:dyDescent="0.25">
      <c r="A9" t="s">
        <v>68</v>
      </c>
      <c r="B9" t="str">
        <f t="shared" si="0"/>
        <v>Sweta</v>
      </c>
      <c r="C9" t="str">
        <f t="shared" si="1"/>
        <v/>
      </c>
      <c r="D9" t="str">
        <f t="shared" si="2"/>
        <v>Choudhary</v>
      </c>
      <c r="E9" t="str">
        <f t="shared" si="3"/>
        <v>Choudhary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aiit student</dc:creator>
  <cp:lastModifiedBy>User</cp:lastModifiedBy>
  <dcterms:created xsi:type="dcterms:W3CDTF">2026-05-20T12:35:23Z</dcterms:created>
  <dcterms:modified xsi:type="dcterms:W3CDTF">2026-09-21T12:34:12Z</dcterms:modified>
</cp:coreProperties>
</file>